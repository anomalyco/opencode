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<sst xmlns="http://schemas.openxmlformats.org/spreadsheetml/2006/main" count="105" uniqueCount="92">
  <si>
    <t xml:space="preserve">TỔNG KẾT &amp; KỊCH BẢN v1.1</t>
  </si>
  <si>
    <t xml:space="preserve">Chỉ số</t>
  </si>
  <si>
    <t xml:space="preserve">Q1</t>
  </si>
  <si>
    <t xml:space="preserve">Q2</t>
  </si>
  <si>
    <t xml:space="preserve">Q3</t>
  </si>
  <si>
    <t xml:space="preserve">Q4</t>
  </si>
  <si>
    <t xml:space="preserve">Năm 1</t>
  </si>
  <si>
    <t xml:space="preserve">Doanh thu (net)</t>
  </si>
  <si>
    <t xml:space="preserve">Chi phí</t>
  </si>
  <si>
    <t xml:space="preserve">Lợi nhuận</t>
  </si>
  <si>
    <t xml:space="preserve">KỊCH BẢN (Năm 1)</t>
  </si>
  <si>
    <t xml:space="preserve">Hệ số</t>
  </si>
  <si>
    <t xml:space="preserve">Doanh thu</t>
  </si>
  <si>
    <t xml:space="preserve">Pessimistic</t>
  </si>
  <si>
    <t xml:space="preserve">Conservative (base)</t>
  </si>
  <si>
    <t xml:space="preserve">Optimistic</t>
  </si>
  <si>
    <t xml:space="preserve">ROI trên vốn &lt;15M (base)</t>
  </si>
  <si>
    <t xml:space="preserve">Break-even dòng tiền</t>
  </si>
  <si>
    <t xml:space="preserve">M6-M7</t>
  </si>
  <si>
    <t xml:space="preserve">EcoPickle Connect — Cashflow Model v1.1 (điều chỉnh pricing)</t>
  </si>
  <si>
    <t xml:space="preserve">Ô XANH = input chỉnh được. Coach/Chủ sân đăng ký &amp; setup MIỄN PHÍ. Dạy học CHƯA thu phí.</t>
  </si>
  <si>
    <t xml:space="preserve">KEY PRICES / TAKE-RATES</t>
  </si>
  <si>
    <t xml:space="preserve">Average sale price (k)</t>
  </si>
  <si>
    <t xml:space="preserve">Giá bán TB (D2)</t>
  </si>
  <si>
    <t xml:space="preserve">Sales commission %</t>
  </si>
  <si>
    <t xml:space="preserve">BR-CONS-007</t>
  </si>
  <si>
    <t xml:space="preserve">Rental net blended /lượt (k)</t>
  </si>
  <si>
    <t xml:space="preserve">sau hoàn phí khi mua</t>
  </si>
  <si>
    <t xml:space="preserve">Certification fee (k)</t>
  </si>
  <si>
    <t xml:space="preserve">C2C upgrade / pivot</t>
  </si>
  <si>
    <t xml:space="preserve">C2C listing fee (k)</t>
  </si>
  <si>
    <t xml:space="preserve">tin thứ 3+</t>
  </si>
  <si>
    <t xml:space="preserve">Vendor net /vendor/tháng (k)</t>
  </si>
  <si>
    <t xml:space="preserve">rev-share+boost</t>
  </si>
  <si>
    <t xml:space="preserve">Tournament pkg — 1 tháng (k)</t>
  </si>
  <si>
    <t xml:space="preserve">gói lẻ</t>
  </si>
  <si>
    <t xml:space="preserve">Tournament pkg — 6 tháng (k)</t>
  </si>
  <si>
    <t xml:space="preserve">≈100k/tháng</t>
  </si>
  <si>
    <t xml:space="preserve">Tournament pkg — 12 tháng (k)</t>
  </si>
  <si>
    <t xml:space="preserve">≈83k/tháng</t>
  </si>
  <si>
    <t xml:space="preserve">Tournament pkg — eff /sub/tháng (k)</t>
  </si>
  <si>
    <t xml:space="preserve">blended mix gói</t>
  </si>
  <si>
    <t xml:space="preserve">Court Owner value acct /năm (k)</t>
  </si>
  <si>
    <t xml:space="preserve">≈83k/tháng recognized</t>
  </si>
  <si>
    <t xml:space="preserve">Trainer lesson fee</t>
  </si>
  <si>
    <t xml:space="preserve">CHƯA</t>
  </si>
  <si>
    <t xml:space="preserve">học viên tự book — add-on nghiên cứu sau</t>
  </si>
  <si>
    <t xml:space="preserve">MONTHLY CASHFLOW MODEL v1.1</t>
  </si>
  <si>
    <t xml:space="preserve">Dòng / Tháng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</si>
  <si>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</si>
  <si>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</si>
  <si>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</si>
  <si>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</si>
  <si>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</si>
  <si>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</si>
  <si>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</si>
  <si>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</si>
  <si>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</si>
  <si>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</si>
  <si>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</si>
  <si>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</si>
  <si>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KHỐI LƯỢNG (input)</t>
  </si>
  <si>
    <t xml:space="preserve">Rentals/tháng</t>
  </si>
  <si>
    <t xml:space="preserve">Sales/tháng</t>
  </si>
  <si>
    <t xml:space="preserve">Certifications/tháng</t>
  </si>
  <si>
    <t xml:space="preserve">C2C paid listings/tháng</t>
  </si>
  <si>
    <t xml:space="preserve">Active vendors</t>
  </si>
  <si>
    <t xml:space="preserve">Tournament-pkg subs (coach+sân)</t>
  </si>
  <si>
    <t xml:space="preserve">Court Owner value accounts</t>
  </si>
  <si>
    <t xml:space="preserve">Active trainers (free)</t>
  </si>
  <si>
    <t xml:space="preserve">DOANH THU (net, k)</t>
  </si>
  <si>
    <t xml:space="preserve">R1 Commission</t>
  </si>
  <si>
    <t xml:space="preserve">R2 Rental (net)</t>
  </si>
  <si>
    <t xml:space="preserve">R3 Certification</t>
  </si>
  <si>
    <t xml:space="preserve">R4 C2C listing</t>
  </si>
  <si>
    <t xml:space="preserve">R5 Vendor rev-share+boost</t>
  </si>
  <si>
    <t xml:space="preserve">R6 Tournament package</t>
  </si>
  <si>
    <t xml:space="preserve">R7 Court Owner value acct</t>
  </si>
  <si>
    <t xml:space="preserve">R8 Trainer lessons (CHƯA thu)</t>
  </si>
  <si>
    <t xml:space="preserve">0</t>
  </si>
  <si>
    <t xml:space="preserve">TỔNG DOANH THU</t>
  </si>
  <si>
    <t xml:space="preserve">CHI PHÍ (k)</t>
  </si>
  <si>
    <t xml:space="preserve">Tech</t>
  </si>
  <si>
    <t xml:space="preserve">Marketing</t>
  </si>
  <si>
    <t xml:space="preserve">Runner part-time</t>
  </si>
  <si>
    <t xml:space="preserve">Moderation part-time</t>
  </si>
  <si>
    <t xml:space="preserve">Consumables</t>
  </si>
  <si>
    <t xml:space="preserve">CAPEX một lần</t>
  </si>
  <si>
    <t xml:space="preserve">Insurance fund 5% DT</t>
  </si>
  <si>
    <t xml:space="preserve">TỔNG CHI PHÍ</t>
  </si>
  <si>
    <t xml:space="preserve">LỢI NHUẬN THÁNG</t>
  </si>
  <si>
    <t xml:space="preserve">LUỸ KẾ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</si>
</sst>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580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color rgb="FF15803D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1"/>
      <color rgb="FF99999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5803D"/>
        <bgColor rgb="FF008080"/>
      </patternFill>
    </fill>
    <fill>
      <patternFill patternType="solid">
        <fgColor rgb="FFDCFCE7"/>
        <bgColor rgb="FFCCFFFF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CFCE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6" min="5" style="0" width="1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customFormat="false" ht="15" hidden="false" customHeight="false" outlineLevel="0" collapsed="false">
      <c r="A4" s="4" t="s">
        <v>7</v>
      </c>
      <c r="B4" s="5" t="n">
        <f aca="false">SUM(Model!B23:D23)</f>
        <v>7087</v>
      </c>
      <c r="C4" s="5" t="n">
        <f aca="false">SUM(Model!E23:G23)</f>
        <v>22028.6666666667</v>
      </c>
      <c r="D4" s="5" t="n">
        <f aca="false">SUM(Model!H23:J23)</f>
        <v>37813.6666666667</v>
      </c>
      <c r="E4" s="5" t="n">
        <f aca="false">SUM(Model!K23:M23)</f>
        <v>56027.6666666667</v>
      </c>
      <c r="F4" s="6" t="n">
        <f aca="false">SUM(B4:E4)</f>
        <v>122957</v>
      </c>
    </row>
    <row r="5" customFormat="false" ht="15" hidden="false" customHeight="false" outlineLevel="0" collapsed="false">
      <c r="A5" s="4" t="s">
        <v>8</v>
      </c>
      <c r="B5" s="5" t="n">
        <f aca="false">SUM(Model!B32:D32)</f>
        <v>13454.35</v>
      </c>
      <c r="C5" s="5" t="n">
        <f aca="false">SUM(Model!E32:G32)</f>
        <v>13401.4333333333</v>
      </c>
      <c r="D5" s="5" t="n">
        <f aca="false">SUM(Model!H32:J32)</f>
        <v>17190.6833333333</v>
      </c>
      <c r="E5" s="5" t="n">
        <f aca="false">SUM(Model!K32:M32)</f>
        <v>20501.3833333333</v>
      </c>
      <c r="F5" s="6" t="n">
        <f aca="false">SUM(B5:E5)</f>
        <v>64547.85</v>
      </c>
    </row>
    <row r="6" customFormat="false" ht="15" hidden="false" customHeight="false" outlineLevel="0" collapsed="false">
      <c r="A6" s="7" t="s">
        <v>9</v>
      </c>
      <c r="B6" s="8" t="n">
        <f aca="false">B4-B5</f>
        <v>-6367.35</v>
      </c>
      <c r="C6" s="8" t="n">
        <f aca="false">C4-C5</f>
        <v>8627.23333333333</v>
      </c>
      <c r="D6" s="8" t="n">
        <f aca="false">D4-D5</f>
        <v>20622.9833333333</v>
      </c>
      <c r="E6" s="8" t="n">
        <f aca="false">E4-E5</f>
        <v>35526.2833333333</v>
      </c>
      <c r="F6" s="8" t="n">
        <f aca="false">F4-F5</f>
        <v>58409.15</v>
      </c>
    </row>
    <row r="8" customFormat="false" ht="15" hidden="false" customHeight="false" outlineLevel="0" collapsed="false">
      <c r="A8" s="2" t="s">
        <v>10</v>
      </c>
      <c r="B8" s="3" t="s">
        <v>11</v>
      </c>
      <c r="C8" s="3" t="s">
        <v>12</v>
      </c>
      <c r="D8" s="3" t="s">
        <v>9</v>
      </c>
    </row>
    <row r="9" customFormat="false" ht="15" hidden="false" customHeight="false" outlineLevel="0" collapsed="false">
      <c r="A9" s="4" t="s">
        <v>13</v>
      </c>
      <c r="B9" s="9" t="n">
        <v>0.6</v>
      </c>
      <c r="C9" s="5" t="n">
        <f aca="false">$F$4*B9</f>
        <v>73774.2</v>
      </c>
      <c r="D9" s="5" t="n">
        <f aca="false">$F$4*B9-$F$5</f>
        <v>9226.35</v>
      </c>
    </row>
    <row r="10" customFormat="false" ht="15" hidden="false" customHeight="false" outlineLevel="0" collapsed="false">
      <c r="A10" s="4" t="s">
        <v>14</v>
      </c>
      <c r="B10" s="9" t="n">
        <v>1</v>
      </c>
      <c r="C10" s="5" t="n">
        <f aca="false">$F$4*B10</f>
        <v>122957</v>
      </c>
      <c r="D10" s="5" t="n">
        <f aca="false">$F$4*B10-$F$5</f>
        <v>58409.15</v>
      </c>
    </row>
    <row r="11" customFormat="false" ht="15" hidden="false" customHeight="false" outlineLevel="0" collapsed="false">
      <c r="A11" s="4" t="s">
        <v>15</v>
      </c>
      <c r="B11" s="9" t="n">
        <v>1.3</v>
      </c>
      <c r="C11" s="5" t="n">
        <f aca="false">$F$4*B11</f>
        <v>159844.1</v>
      </c>
      <c r="D11" s="5" t="n">
        <f aca="false">$F$4*B11-$F$5</f>
        <v>95296.25</v>
      </c>
    </row>
    <row r="13" customFormat="false" ht="15" hidden="false" customHeight="false" outlineLevel="0" collapsed="false">
      <c r="A13" s="4" t="s">
        <v>16</v>
      </c>
      <c r="B13" s="10" t="n">
        <f aca="false">F6/15000</f>
        <v>3.89394333333333</v>
      </c>
    </row>
    <row r="14" customFormat="false" ht="15" hidden="false" customHeight="false" outlineLevel="0" collapsed="false">
      <c r="A14" s="4" t="s">
        <v>17</v>
      </c>
      <c r="B14" s="1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2" t="s">
        <v>19</v>
      </c>
    </row>
    <row r="2" customFormat="false" ht="15" hidden="false" customHeight="false" outlineLevel="0" collapsed="false">
      <c r="A2" s="13" t="s">
        <v>20</v>
      </c>
    </row>
    <row r="4" customFormat="false" ht="15" hidden="false" customHeight="false" outlineLevel="0" collapsed="false">
      <c r="A4" s="2" t="s">
        <v>21</v>
      </c>
      <c r="B4" s="14"/>
      <c r="C4" s="14"/>
    </row>
    <row r="5" customFormat="false" ht="15" hidden="false" customHeight="false" outlineLevel="0" collapsed="false">
      <c r="A5" s="4" t="s">
        <v>22</v>
      </c>
      <c r="B5" s="15" t="n">
        <v>2000</v>
      </c>
      <c r="C5" s="16" t="s">
        <v>23</v>
      </c>
    </row>
    <row r="6" customFormat="false" ht="15" hidden="false" customHeight="false" outlineLevel="0" collapsed="false">
      <c r="A6" s="4" t="s">
        <v>24</v>
      </c>
      <c r="B6" s="17" t="n">
        <v>0.08</v>
      </c>
      <c r="C6" s="16" t="s">
        <v>25</v>
      </c>
    </row>
    <row r="7" customFormat="false" ht="15" hidden="false" customHeight="false" outlineLevel="0" collapsed="false">
      <c r="A7" s="4" t="s">
        <v>26</v>
      </c>
      <c r="B7" s="15" t="n">
        <v>130</v>
      </c>
      <c r="C7" s="16" t="s">
        <v>27</v>
      </c>
    </row>
    <row r="8" customFormat="false" ht="15" hidden="false" customHeight="false" outlineLevel="0" collapsed="false">
      <c r="A8" s="4" t="s">
        <v>28</v>
      </c>
      <c r="B8" s="15" t="n">
        <v>149</v>
      </c>
      <c r="C8" s="16" t="s">
        <v>29</v>
      </c>
    </row>
    <row r="9" customFormat="false" ht="15" hidden="false" customHeight="false" outlineLevel="0" collapsed="false">
      <c r="A9" s="4" t="s">
        <v>30</v>
      </c>
      <c r="B9" s="15" t="n">
        <v>19</v>
      </c>
      <c r="C9" s="16" t="s">
        <v>31</v>
      </c>
    </row>
    <row r="10" customFormat="false" ht="15" hidden="false" customHeight="false" outlineLevel="0" collapsed="false">
      <c r="A10" s="4" t="s">
        <v>32</v>
      </c>
      <c r="B10" s="15" t="n">
        <v>360</v>
      </c>
      <c r="C10" s="16" t="s">
        <v>33</v>
      </c>
    </row>
    <row r="11" customFormat="false" ht="15" hidden="false" customHeight="false" outlineLevel="0" collapsed="false">
      <c r="A11" s="4" t="s">
        <v>34</v>
      </c>
      <c r="B11" s="15" t="n">
        <v>150</v>
      </c>
      <c r="C11" s="16" t="s">
        <v>35</v>
      </c>
    </row>
    <row r="12" customFormat="false" ht="15" hidden="false" customHeight="false" outlineLevel="0" collapsed="false">
      <c r="A12" s="4" t="s">
        <v>36</v>
      </c>
      <c r="B12" s="15" t="n">
        <v>600</v>
      </c>
      <c r="C12" s="16" t="s">
        <v>37</v>
      </c>
    </row>
    <row r="13" customFormat="false" ht="15" hidden="false" customHeight="false" outlineLevel="0" collapsed="false">
      <c r="A13" s="4" t="s">
        <v>38</v>
      </c>
      <c r="B13" s="15" t="n">
        <v>1000</v>
      </c>
      <c r="C13" s="16" t="s">
        <v>39</v>
      </c>
    </row>
    <row r="14" customFormat="false" ht="15" hidden="false" customHeight="false" outlineLevel="0" collapsed="false">
      <c r="A14" s="4" t="s">
        <v>40</v>
      </c>
      <c r="B14" s="15" t="n">
        <v>110</v>
      </c>
      <c r="C14" s="16" t="s">
        <v>41</v>
      </c>
    </row>
    <row r="15" customFormat="false" ht="15" hidden="false" customHeight="false" outlineLevel="0" collapsed="false">
      <c r="A15" s="4" t="s">
        <v>42</v>
      </c>
      <c r="B15" s="15" t="n">
        <v>1000</v>
      </c>
      <c r="C15" s="16" t="s">
        <v>43</v>
      </c>
    </row>
    <row r="16" customFormat="false" ht="15" hidden="false" customHeight="false" outlineLevel="0" collapsed="false">
      <c r="A16" s="4" t="s">
        <v>44</v>
      </c>
      <c r="B16" s="18" t="s">
        <v>45</v>
      </c>
      <c r="C16" s="16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8.5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" t="s">
        <v>47</v>
      </c>
    </row>
    <row r="3" customFormat="false" ht="15" hidden="false" customHeight="false" outlineLevel="0" collapsed="false">
      <c r="A3" s="2" t="s">
        <v>48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3" t="s">
        <v>55</v>
      </c>
      <c r="I3" s="3" t="s">
        <v>56</v>
      </c>
      <c r="J3" s="3" t="s">
        <v>57</v>
      </c>
      <c r="K3" s="3" t="s">
        <v>58</v>
      </c>
      <c r="L3" s="3" t="s">
        <v>59</v>
      </c>
      <c r="M3" s="3" t="s">
        <v>60</v>
      </c>
      <c r="N3" s="3" t="s">
        <v>6</v>
      </c>
    </row>
    <row r="5" customFormat="false" ht="15" hidden="false" customHeight="false" outlineLevel="0" collapsed="false">
      <c r="A5" s="7" t="s">
        <v>61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customFormat="false" ht="15" hidden="false" customHeight="false" outlineLevel="0" collapsed="false">
      <c r="A6" s="4" t="s">
        <v>62</v>
      </c>
      <c r="B6" s="20" t="n">
        <v>6</v>
      </c>
      <c r="C6" s="20" t="n">
        <v>12</v>
      </c>
      <c r="D6" s="20" t="n">
        <v>18</v>
      </c>
      <c r="E6" s="20" t="n">
        <v>26</v>
      </c>
      <c r="F6" s="20" t="n">
        <v>32</v>
      </c>
      <c r="G6" s="20" t="n">
        <v>40</v>
      </c>
      <c r="H6" s="20" t="n">
        <v>46</v>
      </c>
      <c r="I6" s="20" t="n">
        <v>52</v>
      </c>
      <c r="J6" s="20" t="n">
        <v>60</v>
      </c>
      <c r="K6" s="20" t="n">
        <v>66</v>
      </c>
      <c r="L6" s="20" t="n">
        <v>72</v>
      </c>
      <c r="M6" s="20" t="n">
        <v>85</v>
      </c>
      <c r="N6" s="21" t="n">
        <f aca="false">SUM(B6:M6)</f>
        <v>515</v>
      </c>
    </row>
    <row r="7" customFormat="false" ht="15" hidden="false" customHeight="false" outlineLevel="0" collapsed="false">
      <c r="A7" s="4" t="s">
        <v>63</v>
      </c>
      <c r="B7" s="20" t="n">
        <v>2</v>
      </c>
      <c r="C7" s="20" t="n">
        <v>3</v>
      </c>
      <c r="D7" s="20" t="n">
        <v>5</v>
      </c>
      <c r="E7" s="20" t="n">
        <v>6</v>
      </c>
      <c r="F7" s="20" t="n">
        <v>8</v>
      </c>
      <c r="G7" s="20" t="n">
        <v>10</v>
      </c>
      <c r="H7" s="20" t="n">
        <v>11</v>
      </c>
      <c r="I7" s="20" t="n">
        <v>13</v>
      </c>
      <c r="J7" s="20" t="n">
        <v>15</v>
      </c>
      <c r="K7" s="20" t="n">
        <v>17</v>
      </c>
      <c r="L7" s="20" t="n">
        <v>20</v>
      </c>
      <c r="M7" s="20" t="n">
        <v>24</v>
      </c>
      <c r="N7" s="21" t="n">
        <f aca="false">SUM(B7:M7)</f>
        <v>134</v>
      </c>
    </row>
    <row r="8" customFormat="false" ht="15" hidden="false" customHeight="false" outlineLevel="0" collapsed="false">
      <c r="A8" s="4" t="s">
        <v>64</v>
      </c>
      <c r="B8" s="20" t="n">
        <v>0</v>
      </c>
      <c r="C8" s="20" t="n">
        <v>1</v>
      </c>
      <c r="D8" s="20" t="n">
        <v>2</v>
      </c>
      <c r="E8" s="20" t="n">
        <v>3</v>
      </c>
      <c r="F8" s="20" t="n">
        <v>5</v>
      </c>
      <c r="G8" s="20" t="n">
        <v>6</v>
      </c>
      <c r="H8" s="20" t="n">
        <v>8</v>
      </c>
      <c r="I8" s="20" t="n">
        <v>10</v>
      </c>
      <c r="J8" s="20" t="n">
        <v>12</v>
      </c>
      <c r="K8" s="20" t="n">
        <v>14</v>
      </c>
      <c r="L8" s="20" t="n">
        <v>16</v>
      </c>
      <c r="M8" s="20" t="n">
        <v>18</v>
      </c>
      <c r="N8" s="21" t="n">
        <f aca="false">SUM(B8:M8)</f>
        <v>95</v>
      </c>
    </row>
    <row r="9" customFormat="false" ht="15" hidden="false" customHeight="false" outlineLevel="0" collapsed="false">
      <c r="A9" s="4" t="s">
        <v>65</v>
      </c>
      <c r="B9" s="20" t="n">
        <v>0</v>
      </c>
      <c r="C9" s="20" t="n">
        <v>0</v>
      </c>
      <c r="D9" s="20" t="n">
        <v>0</v>
      </c>
      <c r="E9" s="20" t="n">
        <v>5</v>
      </c>
      <c r="F9" s="20" t="n">
        <v>8</v>
      </c>
      <c r="G9" s="20" t="n">
        <v>11</v>
      </c>
      <c r="H9" s="20" t="n">
        <v>16</v>
      </c>
      <c r="I9" s="20" t="n">
        <v>21</v>
      </c>
      <c r="J9" s="20" t="n">
        <v>26</v>
      </c>
      <c r="K9" s="20" t="n">
        <v>32</v>
      </c>
      <c r="L9" s="20" t="n">
        <v>37</v>
      </c>
      <c r="M9" s="20" t="n">
        <v>42</v>
      </c>
      <c r="N9" s="21" t="n">
        <f aca="false">SUM(B9:M9)</f>
        <v>198</v>
      </c>
    </row>
    <row r="10" customFormat="false" ht="15" hidden="false" customHeight="false" outlineLevel="0" collapsed="false">
      <c r="A10" s="4" t="s">
        <v>66</v>
      </c>
      <c r="B10" s="20" t="n">
        <v>0</v>
      </c>
      <c r="C10" s="20" t="n">
        <v>0</v>
      </c>
      <c r="D10" s="20" t="n">
        <v>1</v>
      </c>
      <c r="E10" s="20" t="n">
        <v>2</v>
      </c>
      <c r="F10" s="20" t="n">
        <v>2</v>
      </c>
      <c r="G10" s="20" t="n">
        <v>3</v>
      </c>
      <c r="H10" s="20" t="n">
        <v>3</v>
      </c>
      <c r="I10" s="20" t="n">
        <v>4</v>
      </c>
      <c r="J10" s="20" t="n">
        <v>4</v>
      </c>
      <c r="K10" s="20" t="n">
        <v>4</v>
      </c>
      <c r="L10" s="20" t="n">
        <v>5</v>
      </c>
      <c r="M10" s="20" t="n">
        <v>5</v>
      </c>
      <c r="N10" s="21" t="n">
        <f aca="false">SUM(B10:M10)</f>
        <v>33</v>
      </c>
    </row>
    <row r="11" customFormat="false" ht="15" hidden="false" customHeight="false" outlineLevel="0" collapsed="false">
      <c r="A11" s="4" t="s">
        <v>67</v>
      </c>
      <c r="B11" s="20" t="n">
        <v>0</v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2</v>
      </c>
      <c r="H11" s="20" t="n">
        <v>2</v>
      </c>
      <c r="I11" s="20" t="n">
        <v>3</v>
      </c>
      <c r="J11" s="20" t="n">
        <v>4</v>
      </c>
      <c r="K11" s="20" t="n">
        <v>5</v>
      </c>
      <c r="L11" s="20" t="n">
        <v>7</v>
      </c>
      <c r="M11" s="20" t="n">
        <v>9</v>
      </c>
      <c r="N11" s="21" t="n">
        <f aca="false">SUM(B11:M11)</f>
        <v>32</v>
      </c>
    </row>
    <row r="12" customFormat="false" ht="15" hidden="false" customHeight="false" outlineLevel="0" collapsed="false">
      <c r="A12" s="4" t="s">
        <v>68</v>
      </c>
      <c r="B12" s="20" t="n">
        <v>0</v>
      </c>
      <c r="C12" s="20" t="n">
        <v>0</v>
      </c>
      <c r="D12" s="20" t="n">
        <v>0</v>
      </c>
      <c r="E12" s="20" t="n">
        <v>0</v>
      </c>
      <c r="F12" s="20" t="n">
        <v>1</v>
      </c>
      <c r="G12" s="20" t="n">
        <v>1</v>
      </c>
      <c r="H12" s="20" t="n">
        <v>1</v>
      </c>
      <c r="I12" s="20" t="n">
        <v>2</v>
      </c>
      <c r="J12" s="20" t="n">
        <v>2</v>
      </c>
      <c r="K12" s="20" t="n">
        <v>2</v>
      </c>
      <c r="L12" s="20" t="n">
        <v>3</v>
      </c>
      <c r="M12" s="20" t="n">
        <v>3</v>
      </c>
      <c r="N12" s="21" t="n">
        <f aca="false">SUM(B12:M12)</f>
        <v>15</v>
      </c>
    </row>
    <row r="13" customFormat="false" ht="15" hidden="false" customHeight="false" outlineLevel="0" collapsed="false">
      <c r="A13" s="4" t="s">
        <v>69</v>
      </c>
      <c r="B13" s="20" t="n">
        <v>2</v>
      </c>
      <c r="C13" s="20" t="n">
        <v>3</v>
      </c>
      <c r="D13" s="20" t="n">
        <v>4</v>
      </c>
      <c r="E13" s="20" t="n">
        <v>5</v>
      </c>
      <c r="F13" s="20" t="n">
        <v>6</v>
      </c>
      <c r="G13" s="20" t="n">
        <v>8</v>
      </c>
      <c r="H13" s="20" t="n">
        <v>9</v>
      </c>
      <c r="I13" s="20" t="n">
        <v>10</v>
      </c>
      <c r="J13" s="20" t="n">
        <v>11</v>
      </c>
      <c r="K13" s="20" t="n">
        <v>12</v>
      </c>
      <c r="L13" s="20" t="n">
        <v>13</v>
      </c>
      <c r="M13" s="20" t="n">
        <v>14</v>
      </c>
      <c r="N13" s="21" t="n">
        <f aca="false">SUM(B13:M13)</f>
        <v>97</v>
      </c>
    </row>
    <row r="14" customFormat="false" ht="15" hidden="false" customHeight="false" outlineLevel="0" collapsed="false">
      <c r="A14" s="7" t="s">
        <v>70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customFormat="false" ht="15" hidden="false" customHeight="false" outlineLevel="0" collapsed="false">
      <c r="A15" s="4" t="s">
        <v>71</v>
      </c>
      <c r="B15" s="5" t="n">
        <f aca="false">B7*Assumptions!$B$5*Assumptions!$B$6</f>
        <v>320</v>
      </c>
      <c r="C15" s="5" t="n">
        <f aca="false">C7*Assumptions!$B$5*Assumptions!$B$6</f>
        <v>480</v>
      </c>
      <c r="D15" s="5" t="n">
        <f aca="false">D7*Assumptions!$B$5*Assumptions!$B$6</f>
        <v>800</v>
      </c>
      <c r="E15" s="5" t="n">
        <f aca="false">E7*Assumptions!$B$5*Assumptions!$B$6</f>
        <v>960</v>
      </c>
      <c r="F15" s="5" t="n">
        <f aca="false">F7*Assumptions!$B$5*Assumptions!$B$6</f>
        <v>1280</v>
      </c>
      <c r="G15" s="5" t="n">
        <f aca="false">G7*Assumptions!$B$5*Assumptions!$B$6</f>
        <v>1600</v>
      </c>
      <c r="H15" s="5" t="n">
        <f aca="false">H7*Assumptions!$B$5*Assumptions!$B$6</f>
        <v>1760</v>
      </c>
      <c r="I15" s="5" t="n">
        <f aca="false">I7*Assumptions!$B$5*Assumptions!$B$6</f>
        <v>2080</v>
      </c>
      <c r="J15" s="5" t="n">
        <f aca="false">J7*Assumptions!$B$5*Assumptions!$B$6</f>
        <v>2400</v>
      </c>
      <c r="K15" s="5" t="n">
        <f aca="false">K7*Assumptions!$B$5*Assumptions!$B$6</f>
        <v>2720</v>
      </c>
      <c r="L15" s="5" t="n">
        <f aca="false">L7*Assumptions!$B$5*Assumptions!$B$6</f>
        <v>3200</v>
      </c>
      <c r="M15" s="5" t="n">
        <f aca="false">M7*Assumptions!$B$5*Assumptions!$B$6</f>
        <v>3840</v>
      </c>
      <c r="N15" s="6" t="n">
        <f aca="false">SUM(B15:M15)</f>
        <v>21440</v>
      </c>
    </row>
    <row r="16" customFormat="false" ht="15" hidden="false" customHeight="false" outlineLevel="0" collapsed="false">
      <c r="A16" s="4" t="s">
        <v>72</v>
      </c>
      <c r="B16" s="5" t="n">
        <f aca="false">B6*Assumptions!$B$7</f>
        <v>780</v>
      </c>
      <c r="C16" s="5" t="n">
        <f aca="false">C6*Assumptions!$B$7</f>
        <v>1560</v>
      </c>
      <c r="D16" s="5" t="n">
        <f aca="false">D6*Assumptions!$B$7</f>
        <v>2340</v>
      </c>
      <c r="E16" s="5" t="n">
        <f aca="false">E6*Assumptions!$B$7</f>
        <v>3380</v>
      </c>
      <c r="F16" s="5" t="n">
        <f aca="false">F6*Assumptions!$B$7</f>
        <v>4160</v>
      </c>
      <c r="G16" s="5" t="n">
        <f aca="false">G6*Assumptions!$B$7</f>
        <v>5200</v>
      </c>
      <c r="H16" s="5" t="n">
        <f aca="false">H6*Assumptions!$B$7</f>
        <v>5980</v>
      </c>
      <c r="I16" s="5" t="n">
        <f aca="false">I6*Assumptions!$B$7</f>
        <v>6760</v>
      </c>
      <c r="J16" s="5" t="n">
        <f aca="false">J6*Assumptions!$B$7</f>
        <v>7800</v>
      </c>
      <c r="K16" s="5" t="n">
        <f aca="false">K6*Assumptions!$B$7</f>
        <v>8580</v>
      </c>
      <c r="L16" s="5" t="n">
        <f aca="false">L6*Assumptions!$B$7</f>
        <v>9360</v>
      </c>
      <c r="M16" s="5" t="n">
        <f aca="false">M6*Assumptions!$B$7</f>
        <v>11050</v>
      </c>
      <c r="N16" s="6" t="n">
        <f aca="false">SUM(B16:M16)</f>
        <v>66950</v>
      </c>
    </row>
    <row r="17" customFormat="false" ht="15" hidden="false" customHeight="false" outlineLevel="0" collapsed="false">
      <c r="A17" s="4" t="s">
        <v>73</v>
      </c>
      <c r="B17" s="5" t="n">
        <f aca="false">B8*Assumptions!$B$8</f>
        <v>0</v>
      </c>
      <c r="C17" s="5" t="n">
        <f aca="false">C8*Assumptions!$B$8</f>
        <v>149</v>
      </c>
      <c r="D17" s="5" t="n">
        <f aca="false">D8*Assumptions!$B$8</f>
        <v>298</v>
      </c>
      <c r="E17" s="5" t="n">
        <f aca="false">E8*Assumptions!$B$8</f>
        <v>447</v>
      </c>
      <c r="F17" s="5" t="n">
        <f aca="false">F8*Assumptions!$B$8</f>
        <v>745</v>
      </c>
      <c r="G17" s="5" t="n">
        <f aca="false">G8*Assumptions!$B$8</f>
        <v>894</v>
      </c>
      <c r="H17" s="5" t="n">
        <f aca="false">H8*Assumptions!$B$8</f>
        <v>1192</v>
      </c>
      <c r="I17" s="5" t="n">
        <f aca="false">I8*Assumptions!$B$8</f>
        <v>1490</v>
      </c>
      <c r="J17" s="5" t="n">
        <f aca="false">J8*Assumptions!$B$8</f>
        <v>1788</v>
      </c>
      <c r="K17" s="5" t="n">
        <f aca="false">K8*Assumptions!$B$8</f>
        <v>2086</v>
      </c>
      <c r="L17" s="5" t="n">
        <f aca="false">L8*Assumptions!$B$8</f>
        <v>2384</v>
      </c>
      <c r="M17" s="5" t="n">
        <f aca="false">M8*Assumptions!$B$8</f>
        <v>2682</v>
      </c>
      <c r="N17" s="6" t="n">
        <f aca="false">SUM(B17:M17)</f>
        <v>14155</v>
      </c>
    </row>
    <row r="18" customFormat="false" ht="15" hidden="false" customHeight="false" outlineLevel="0" collapsed="false">
      <c r="A18" s="4" t="s">
        <v>74</v>
      </c>
      <c r="B18" s="5" t="n">
        <f aca="false">B9*Assumptions!$B$9</f>
        <v>0</v>
      </c>
      <c r="C18" s="5" t="n">
        <f aca="false">C9*Assumptions!$B$9</f>
        <v>0</v>
      </c>
      <c r="D18" s="5" t="n">
        <f aca="false">D9*Assumptions!$B$9</f>
        <v>0</v>
      </c>
      <c r="E18" s="5" t="n">
        <f aca="false">E9*Assumptions!$B$9</f>
        <v>95</v>
      </c>
      <c r="F18" s="5" t="n">
        <f aca="false">F9*Assumptions!$B$9</f>
        <v>152</v>
      </c>
      <c r="G18" s="5" t="n">
        <f aca="false">G9*Assumptions!$B$9</f>
        <v>209</v>
      </c>
      <c r="H18" s="5" t="n">
        <f aca="false">H9*Assumptions!$B$9</f>
        <v>304</v>
      </c>
      <c r="I18" s="5" t="n">
        <f aca="false">I9*Assumptions!$B$9</f>
        <v>399</v>
      </c>
      <c r="J18" s="5" t="n">
        <f aca="false">J9*Assumptions!$B$9</f>
        <v>494</v>
      </c>
      <c r="K18" s="5" t="n">
        <f aca="false">K9*Assumptions!$B$9</f>
        <v>608</v>
      </c>
      <c r="L18" s="5" t="n">
        <f aca="false">L9*Assumptions!$B$9</f>
        <v>703</v>
      </c>
      <c r="M18" s="5" t="n">
        <f aca="false">M9*Assumptions!$B$9</f>
        <v>798</v>
      </c>
      <c r="N18" s="6" t="n">
        <f aca="false">SUM(B18:M18)</f>
        <v>3762</v>
      </c>
    </row>
    <row r="19" customFormat="false" ht="15" hidden="false" customHeight="false" outlineLevel="0" collapsed="false">
      <c r="A19" s="4" t="s">
        <v>75</v>
      </c>
      <c r="B19" s="5" t="n">
        <f aca="false">B10*Assumptions!$B$10</f>
        <v>0</v>
      </c>
      <c r="C19" s="5" t="n">
        <f aca="false">C10*Assumptions!$B$10</f>
        <v>0</v>
      </c>
      <c r="D19" s="5" t="n">
        <f aca="false">D10*Assumptions!$B$10</f>
        <v>360</v>
      </c>
      <c r="E19" s="5" t="n">
        <f aca="false">E10*Assumptions!$B$10</f>
        <v>720</v>
      </c>
      <c r="F19" s="5" t="n">
        <f aca="false">F10*Assumptions!$B$10</f>
        <v>720</v>
      </c>
      <c r="G19" s="5" t="n">
        <f aca="false">G10*Assumptions!$B$10</f>
        <v>1080</v>
      </c>
      <c r="H19" s="5" t="n">
        <f aca="false">H10*Assumptions!$B$10</f>
        <v>1080</v>
      </c>
      <c r="I19" s="5" t="n">
        <f aca="false">I10*Assumptions!$B$10</f>
        <v>1440</v>
      </c>
      <c r="J19" s="5" t="n">
        <f aca="false">J10*Assumptions!$B$10</f>
        <v>1440</v>
      </c>
      <c r="K19" s="5" t="n">
        <f aca="false">K10*Assumptions!$B$10</f>
        <v>1440</v>
      </c>
      <c r="L19" s="5" t="n">
        <f aca="false">L10*Assumptions!$B$10</f>
        <v>1800</v>
      </c>
      <c r="M19" s="5" t="n">
        <f aca="false">M10*Assumptions!$B$10</f>
        <v>1800</v>
      </c>
      <c r="N19" s="6" t="n">
        <f aca="false">SUM(B19:M19)</f>
        <v>11880</v>
      </c>
    </row>
    <row r="20" customFormat="false" ht="15" hidden="false" customHeight="false" outlineLevel="0" collapsed="false">
      <c r="A20" s="4" t="s">
        <v>76</v>
      </c>
      <c r="B20" s="5" t="n">
        <f aca="false">B11*Assumptions!$B$14</f>
        <v>0</v>
      </c>
      <c r="C20" s="5" t="n">
        <f aca="false">C11*Assumptions!$B$14</f>
        <v>0</v>
      </c>
      <c r="D20" s="5" t="n">
        <f aca="false">D11*Assumptions!$B$14</f>
        <v>0</v>
      </c>
      <c r="E20" s="5" t="n">
        <f aca="false">E11*Assumptions!$B$14</f>
        <v>0</v>
      </c>
      <c r="F20" s="5" t="n">
        <f aca="false">F11*Assumptions!$B$14</f>
        <v>0</v>
      </c>
      <c r="G20" s="5" t="n">
        <f aca="false">G11*Assumptions!$B$14</f>
        <v>220</v>
      </c>
      <c r="H20" s="5" t="n">
        <f aca="false">H11*Assumptions!$B$14</f>
        <v>220</v>
      </c>
      <c r="I20" s="5" t="n">
        <f aca="false">I11*Assumptions!$B$14</f>
        <v>330</v>
      </c>
      <c r="J20" s="5" t="n">
        <f aca="false">J11*Assumptions!$B$14</f>
        <v>440</v>
      </c>
      <c r="K20" s="5" t="n">
        <f aca="false">K11*Assumptions!$B$14</f>
        <v>550</v>
      </c>
      <c r="L20" s="5" t="n">
        <f aca="false">L11*Assumptions!$B$14</f>
        <v>770</v>
      </c>
      <c r="M20" s="5" t="n">
        <f aca="false">M11*Assumptions!$B$14</f>
        <v>990</v>
      </c>
      <c r="N20" s="6" t="n">
        <f aca="false">SUM(B20:M20)</f>
        <v>3520</v>
      </c>
    </row>
    <row r="21" customFormat="false" ht="15" hidden="false" customHeight="false" outlineLevel="0" collapsed="false">
      <c r="A21" s="4" t="s">
        <v>77</v>
      </c>
      <c r="B21" s="5" t="n">
        <f aca="false">B12*Assumptions!$B$15/12</f>
        <v>0</v>
      </c>
      <c r="C21" s="5" t="n">
        <f aca="false">C12*Assumptions!$B$15/12</f>
        <v>0</v>
      </c>
      <c r="D21" s="5" t="n">
        <f aca="false">D12*Assumptions!$B$15/12</f>
        <v>0</v>
      </c>
      <c r="E21" s="5" t="n">
        <f aca="false">E12*Assumptions!$B$15/12</f>
        <v>0</v>
      </c>
      <c r="F21" s="5" t="n">
        <f aca="false">F12*Assumptions!$B$15/12</f>
        <v>83.3333333333333</v>
      </c>
      <c r="G21" s="5" t="n">
        <f aca="false">G12*Assumptions!$B$15/12</f>
        <v>83.3333333333333</v>
      </c>
      <c r="H21" s="5" t="n">
        <f aca="false">H12*Assumptions!$B$15/12</f>
        <v>83.3333333333333</v>
      </c>
      <c r="I21" s="5" t="n">
        <f aca="false">I12*Assumptions!$B$15/12</f>
        <v>166.666666666667</v>
      </c>
      <c r="J21" s="5" t="n">
        <f aca="false">J12*Assumptions!$B$15/12</f>
        <v>166.666666666667</v>
      </c>
      <c r="K21" s="5" t="n">
        <f aca="false">K12*Assumptions!$B$15/12</f>
        <v>166.666666666667</v>
      </c>
      <c r="L21" s="5" t="n">
        <f aca="false">L12*Assumptions!$B$15/12</f>
        <v>250</v>
      </c>
      <c r="M21" s="5" t="n">
        <f aca="false">M12*Assumptions!$B$15/12</f>
        <v>250</v>
      </c>
      <c r="N21" s="6" t="n">
        <f aca="false">SUM(B21:M21)</f>
        <v>1250</v>
      </c>
    </row>
    <row r="22" customFormat="false" ht="15" hidden="false" customHeight="false" outlineLevel="0" collapsed="false">
      <c r="A22" s="4" t="s">
        <v>78</v>
      </c>
      <c r="B22" s="5" t="s">
        <v>79</v>
      </c>
      <c r="C22" s="5" t="s">
        <v>79</v>
      </c>
      <c r="D22" s="5" t="s">
        <v>79</v>
      </c>
      <c r="E22" s="5" t="s">
        <v>79</v>
      </c>
      <c r="F22" s="5" t="s">
        <v>79</v>
      </c>
      <c r="G22" s="5" t="s">
        <v>79</v>
      </c>
      <c r="H22" s="5" t="s">
        <v>79</v>
      </c>
      <c r="I22" s="5" t="s">
        <v>79</v>
      </c>
      <c r="J22" s="5" t="s">
        <v>79</v>
      </c>
      <c r="K22" s="5" t="s">
        <v>79</v>
      </c>
      <c r="L22" s="5" t="s">
        <v>79</v>
      </c>
      <c r="M22" s="5" t="s">
        <v>79</v>
      </c>
      <c r="N22" s="6" t="n">
        <f aca="false">SUM(B22:M22)</f>
        <v>0</v>
      </c>
    </row>
    <row r="23" customFormat="false" ht="15" hidden="false" customHeight="false" outlineLevel="0" collapsed="false">
      <c r="A23" s="22" t="s">
        <v>80</v>
      </c>
      <c r="B23" s="23" t="n">
        <f aca="false">SUM(B15:B22)</f>
        <v>1100</v>
      </c>
      <c r="C23" s="23" t="n">
        <f aca="false">SUM(C15:C22)</f>
        <v>2189</v>
      </c>
      <c r="D23" s="23" t="n">
        <f aca="false">SUM(D15:D22)</f>
        <v>3798</v>
      </c>
      <c r="E23" s="23" t="n">
        <f aca="false">SUM(E15:E22)</f>
        <v>5602</v>
      </c>
      <c r="F23" s="23" t="n">
        <f aca="false">SUM(F15:F22)</f>
        <v>7140.33333333333</v>
      </c>
      <c r="G23" s="23" t="n">
        <f aca="false">SUM(G15:G22)</f>
        <v>9286.33333333333</v>
      </c>
      <c r="H23" s="23" t="n">
        <f aca="false">SUM(H15:H22)</f>
        <v>10619.3333333333</v>
      </c>
      <c r="I23" s="23" t="n">
        <f aca="false">SUM(I15:I22)</f>
        <v>12665.6666666667</v>
      </c>
      <c r="J23" s="23" t="n">
        <f aca="false">SUM(J15:J22)</f>
        <v>14528.6666666667</v>
      </c>
      <c r="K23" s="23" t="n">
        <f aca="false">SUM(K15:K22)</f>
        <v>16150.6666666667</v>
      </c>
      <c r="L23" s="23" t="n">
        <f aca="false">SUM(L15:L22)</f>
        <v>18467</v>
      </c>
      <c r="M23" s="23" t="n">
        <f aca="false">SUM(M15:M22)</f>
        <v>21410</v>
      </c>
      <c r="N23" s="23" t="n">
        <f aca="false">SUM(B23:M23)</f>
        <v>122957</v>
      </c>
    </row>
    <row r="24" customFormat="false" ht="15" hidden="false" customHeight="false" outlineLevel="0" collapsed="false">
      <c r="A24" s="7" t="s">
        <v>81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customFormat="false" ht="15" hidden="false" customHeight="false" outlineLevel="0" collapsed="false">
      <c r="A25" s="4" t="s">
        <v>82</v>
      </c>
      <c r="B25" s="5" t="n">
        <v>300</v>
      </c>
      <c r="C25" s="5" t="n">
        <v>300</v>
      </c>
      <c r="D25" s="5" t="n">
        <v>500</v>
      </c>
      <c r="E25" s="5" t="n">
        <v>500</v>
      </c>
      <c r="F25" s="5" t="n">
        <v>700</v>
      </c>
      <c r="G25" s="5" t="n">
        <v>700</v>
      </c>
      <c r="H25" s="5" t="n">
        <v>700</v>
      </c>
      <c r="I25" s="5" t="n">
        <v>700</v>
      </c>
      <c r="J25" s="5" t="n">
        <v>900</v>
      </c>
      <c r="K25" s="5" t="n">
        <v>900</v>
      </c>
      <c r="L25" s="5" t="n">
        <v>900</v>
      </c>
      <c r="M25" s="5" t="n">
        <v>900</v>
      </c>
      <c r="N25" s="6" t="n">
        <f aca="false">SUM(B25:M25)</f>
        <v>8000</v>
      </c>
    </row>
    <row r="26" customFormat="false" ht="15" hidden="false" customHeight="false" outlineLevel="0" collapsed="false">
      <c r="A26" s="4" t="s">
        <v>83</v>
      </c>
      <c r="B26" s="5" t="n">
        <v>500</v>
      </c>
      <c r="C26" s="5" t="n">
        <v>500</v>
      </c>
      <c r="D26" s="5" t="n">
        <v>800</v>
      </c>
      <c r="E26" s="5" t="n">
        <v>800</v>
      </c>
      <c r="F26" s="5" t="n">
        <v>1000</v>
      </c>
      <c r="G26" s="5" t="n">
        <v>1000</v>
      </c>
      <c r="H26" s="5" t="n">
        <v>1000</v>
      </c>
      <c r="I26" s="5" t="n">
        <v>1000</v>
      </c>
      <c r="J26" s="5" t="n">
        <v>1500</v>
      </c>
      <c r="K26" s="5" t="n">
        <v>1500</v>
      </c>
      <c r="L26" s="5" t="n">
        <v>1500</v>
      </c>
      <c r="M26" s="5" t="n">
        <v>1500</v>
      </c>
      <c r="N26" s="6" t="n">
        <f aca="false">SUM(B26:M26)</f>
        <v>12600</v>
      </c>
    </row>
    <row r="27" customFormat="false" ht="15" hidden="false" customHeight="false" outlineLevel="0" collapsed="false">
      <c r="A27" s="4" t="s">
        <v>84</v>
      </c>
      <c r="B27" s="5" t="n">
        <v>0</v>
      </c>
      <c r="C27" s="5" t="n">
        <v>0</v>
      </c>
      <c r="D27" s="5" t="n">
        <v>1200</v>
      </c>
      <c r="E27" s="5" t="n">
        <v>1200</v>
      </c>
      <c r="F27" s="5" t="n">
        <v>1500</v>
      </c>
      <c r="G27" s="5" t="n">
        <v>1500</v>
      </c>
      <c r="H27" s="5" t="n">
        <v>1500</v>
      </c>
      <c r="I27" s="5" t="n">
        <v>1500</v>
      </c>
      <c r="J27" s="5" t="n">
        <v>1800</v>
      </c>
      <c r="K27" s="5" t="n">
        <v>1800</v>
      </c>
      <c r="L27" s="5" t="n">
        <v>1800</v>
      </c>
      <c r="M27" s="5" t="n">
        <v>1800</v>
      </c>
      <c r="N27" s="6" t="n">
        <f aca="false">SUM(B27:M27)</f>
        <v>15600</v>
      </c>
    </row>
    <row r="28" customFormat="false" ht="15" hidden="false" customHeight="false" outlineLevel="0" collapsed="false">
      <c r="A28" s="4" t="s">
        <v>85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1000</v>
      </c>
      <c r="G28" s="5" t="n">
        <v>1000</v>
      </c>
      <c r="H28" s="5" t="n">
        <v>1000</v>
      </c>
      <c r="I28" s="5" t="n">
        <v>1000</v>
      </c>
      <c r="J28" s="5" t="n">
        <v>1000</v>
      </c>
      <c r="K28" s="5" t="n">
        <v>1000</v>
      </c>
      <c r="L28" s="5" t="n">
        <v>1000</v>
      </c>
      <c r="M28" s="5" t="n">
        <v>1000</v>
      </c>
      <c r="N28" s="6" t="n">
        <f aca="false">SUM(B28:M28)</f>
        <v>8000</v>
      </c>
    </row>
    <row r="29" customFormat="false" ht="15" hidden="false" customHeight="false" outlineLevel="0" collapsed="false">
      <c r="A29" s="4" t="s">
        <v>86</v>
      </c>
      <c r="B29" s="5" t="n">
        <v>300</v>
      </c>
      <c r="C29" s="5" t="n">
        <v>300</v>
      </c>
      <c r="D29" s="5" t="n">
        <v>400</v>
      </c>
      <c r="E29" s="5" t="n">
        <v>400</v>
      </c>
      <c r="F29" s="5" t="n">
        <v>500</v>
      </c>
      <c r="G29" s="5" t="n">
        <v>500</v>
      </c>
      <c r="H29" s="5" t="n">
        <v>500</v>
      </c>
      <c r="I29" s="5" t="n">
        <v>500</v>
      </c>
      <c r="J29" s="5" t="n">
        <v>700</v>
      </c>
      <c r="K29" s="5" t="n">
        <v>700</v>
      </c>
      <c r="L29" s="5" t="n">
        <v>700</v>
      </c>
      <c r="M29" s="5" t="n">
        <v>700</v>
      </c>
      <c r="N29" s="6" t="n">
        <f aca="false">SUM(B29:M29)</f>
        <v>6200</v>
      </c>
    </row>
    <row r="30" customFormat="false" ht="15" hidden="false" customHeight="false" outlineLevel="0" collapsed="false">
      <c r="A30" s="4" t="s">
        <v>87</v>
      </c>
      <c r="B30" s="5" t="n">
        <v>8000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6" t="n">
        <f aca="false">SUM(B30:M30)</f>
        <v>8000</v>
      </c>
    </row>
    <row r="31" customFormat="false" ht="15" hidden="false" customHeight="false" outlineLevel="0" collapsed="false">
      <c r="A31" s="4" t="s">
        <v>88</v>
      </c>
      <c r="B31" s="5" t="n">
        <f aca="false">B23*0.05</f>
        <v>55</v>
      </c>
      <c r="C31" s="5" t="n">
        <f aca="false">C23*0.05</f>
        <v>109.45</v>
      </c>
      <c r="D31" s="5" t="n">
        <f aca="false">D23*0.05</f>
        <v>189.9</v>
      </c>
      <c r="E31" s="5" t="n">
        <f aca="false">E23*0.05</f>
        <v>280.1</v>
      </c>
      <c r="F31" s="5" t="n">
        <f aca="false">F23*0.05</f>
        <v>357.016666666667</v>
      </c>
      <c r="G31" s="5" t="n">
        <f aca="false">G23*0.05</f>
        <v>464.316666666667</v>
      </c>
      <c r="H31" s="5" t="n">
        <f aca="false">H23*0.05</f>
        <v>530.966666666667</v>
      </c>
      <c r="I31" s="5" t="n">
        <f aca="false">I23*0.05</f>
        <v>633.283333333333</v>
      </c>
      <c r="J31" s="5" t="n">
        <f aca="false">J23*0.05</f>
        <v>726.433333333333</v>
      </c>
      <c r="K31" s="5" t="n">
        <f aca="false">K23*0.05</f>
        <v>807.533333333333</v>
      </c>
      <c r="L31" s="5" t="n">
        <f aca="false">L23*0.05</f>
        <v>923.35</v>
      </c>
      <c r="M31" s="5" t="n">
        <f aca="false">M23*0.05</f>
        <v>1070.5</v>
      </c>
      <c r="N31" s="6" t="n">
        <f aca="false">SUM(B31:M31)</f>
        <v>6147.85</v>
      </c>
    </row>
    <row r="32" customFormat="false" ht="15" hidden="false" customHeight="false" outlineLevel="0" collapsed="false">
      <c r="A32" s="22" t="s">
        <v>89</v>
      </c>
      <c r="B32" s="23" t="n">
        <f aca="false">SUM(B25:B31)</f>
        <v>9155</v>
      </c>
      <c r="C32" s="23" t="n">
        <f aca="false">SUM(C25:C31)</f>
        <v>1209.45</v>
      </c>
      <c r="D32" s="23" t="n">
        <f aca="false">SUM(D25:D31)</f>
        <v>3089.9</v>
      </c>
      <c r="E32" s="23" t="n">
        <f aca="false">SUM(E25:E31)</f>
        <v>3180.1</v>
      </c>
      <c r="F32" s="23" t="n">
        <f aca="false">SUM(F25:F31)</f>
        <v>5057.01666666667</v>
      </c>
      <c r="G32" s="23" t="n">
        <f aca="false">SUM(G25:G31)</f>
        <v>5164.31666666667</v>
      </c>
      <c r="H32" s="23" t="n">
        <f aca="false">SUM(H25:H31)</f>
        <v>5230.96666666667</v>
      </c>
      <c r="I32" s="23" t="n">
        <f aca="false">SUM(I25:I31)</f>
        <v>5333.28333333333</v>
      </c>
      <c r="J32" s="23" t="n">
        <f aca="false">SUM(J25:J31)</f>
        <v>6626.43333333333</v>
      </c>
      <c r="K32" s="23" t="n">
        <f aca="false">SUM(K25:K31)</f>
        <v>6707.53333333333</v>
      </c>
      <c r="L32" s="23" t="n">
        <f aca="false">SUM(L25:L31)</f>
        <v>6823.35</v>
      </c>
      <c r="M32" s="23" t="n">
        <f aca="false">SUM(M25:M31)</f>
        <v>6970.5</v>
      </c>
      <c r="N32" s="23" t="n">
        <f aca="false">SUM(B32:M32)</f>
        <v>64547.85</v>
      </c>
    </row>
    <row r="34" customFormat="false" ht="15" hidden="false" customHeight="false" outlineLevel="0" collapsed="false">
      <c r="A34" s="2" t="s">
        <v>90</v>
      </c>
      <c r="B34" s="24" t="n">
        <f aca="false">B23-B32</f>
        <v>-8055</v>
      </c>
      <c r="C34" s="24" t="n">
        <f aca="false">C23-C32</f>
        <v>979.55</v>
      </c>
      <c r="D34" s="24" t="n">
        <f aca="false">D23-D32</f>
        <v>708.1</v>
      </c>
      <c r="E34" s="24" t="n">
        <f aca="false">E23-E32</f>
        <v>2421.9</v>
      </c>
      <c r="F34" s="24" t="n">
        <f aca="false">F23-F32</f>
        <v>2083.31666666667</v>
      </c>
      <c r="G34" s="24" t="n">
        <f aca="false">G23-G32</f>
        <v>4122.01666666667</v>
      </c>
      <c r="H34" s="24" t="n">
        <f aca="false">H23-H32</f>
        <v>5388.36666666667</v>
      </c>
      <c r="I34" s="24" t="n">
        <f aca="false">I23-I32</f>
        <v>7332.38333333333</v>
      </c>
      <c r="J34" s="24" t="n">
        <f aca="false">J23-J32</f>
        <v>7902.23333333333</v>
      </c>
      <c r="K34" s="24" t="n">
        <f aca="false">K23-K32</f>
        <v>9443.13333333333</v>
      </c>
      <c r="L34" s="24" t="n">
        <f aca="false">L23-L32</f>
        <v>11643.65</v>
      </c>
      <c r="M34" s="24" t="n">
        <f aca="false">M23-M32</f>
        <v>14439.5</v>
      </c>
      <c r="N34" s="24" t="n">
        <f aca="false">B34+SUM(C34:M34)</f>
        <v>58409.15</v>
      </c>
    </row>
    <row r="35" customFormat="false" ht="15" hidden="false" customHeight="false" outlineLevel="0" collapsed="false">
      <c r="A35" s="25" t="s">
        <v>91</v>
      </c>
      <c r="B35" s="5" t="n">
        <f aca="false">B34</f>
        <v>-8055</v>
      </c>
      <c r="C35" s="5" t="n">
        <f aca="false">B35+C34</f>
        <v>-7075.45</v>
      </c>
      <c r="D35" s="5" t="n">
        <f aca="false">C35+D34</f>
        <v>-6367.35</v>
      </c>
      <c r="E35" s="5" t="n">
        <f aca="false">D35+E34</f>
        <v>-3945.45</v>
      </c>
      <c r="F35" s="5" t="n">
        <f aca="false">E35+F34</f>
        <v>-1862.13333333333</v>
      </c>
      <c r="G35" s="5" t="n">
        <f aca="false">F35+G34</f>
        <v>2259.88333333333</v>
      </c>
      <c r="H35" s="5" t="n">
        <f aca="false">G35+H34</f>
        <v>7648.25</v>
      </c>
      <c r="I35" s="5" t="n">
        <f aca="false">H35+I34</f>
        <v>14980.6333333333</v>
      </c>
      <c r="J35" s="5" t="n">
        <f aca="false">I35+J34</f>
        <v>22882.8666666667</v>
      </c>
      <c r="K35" s="5" t="n">
        <f aca="false">J35+K34</f>
        <v>32326</v>
      </c>
      <c r="L35" s="5" t="n">
        <f aca="false">K35+L34</f>
        <v>43969.65</v>
      </c>
      <c r="M35" s="5" t="n">
        <f aca="false">L35+M34</f>
        <v>58409.15</v>
      </c>
      <c r="N35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2026-07-02T03:13:44Z</dcterms:created>
  <dc:creator>openpyxl</dc:creator>
  <dc:description/>
  <dc:language>en-US</dc:language>
  <cp:lastModifiedBy/>
  <dcterms:modified xsi:type="dcterms:W3CDTF">2026-07-02T03:13:44Z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